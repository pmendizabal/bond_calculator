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bookViews>
    <workbookView xWindow="0" yWindow="0" windowWidth="20490" windowHeight="7755"/>
  </bookViews>
  <sheets>
    <sheet name="Calculadora" sheetId="1" r:id="rId1"/>
    <sheet name="Hoja2" sheetId="2" r:id="rId2"/>
  </sheets>
  <calcPr calcId="152511"/>
</workbook>
</file>

<file path=xl/calcChain.xml><?xml version="1.0" encoding="utf-8"?>
<calcChain xmlns="http://schemas.openxmlformats.org/spreadsheetml/2006/main">
  <c r="E24" i="1" l="1"/>
  <c r="E22" i="1"/>
  <c r="B4" i="1"/>
  <c r="B3" i="1"/>
  <c r="B2" i="1"/>
  <c r="B1" i="1"/>
</calcChain>
</file>

<file path=xl/sharedStrings.xml><?xml version="1.0" encoding="utf-8"?>
<sst xmlns="http://schemas.openxmlformats.org/spreadsheetml/2006/main" count="26" uniqueCount="26">
  <si>
    <t>OUTPUTS</t>
  </si>
  <si>
    <t>VARIACIÓN YIELD Y NUEVO PRECIO.</t>
  </si>
  <si>
    <t>Template Calculadora de Bonos</t>
  </si>
  <si>
    <t>Gráfica</t>
  </si>
  <si>
    <t>PRECIO LÍMPIO</t>
  </si>
  <si>
    <t># CUPÓN</t>
  </si>
  <si>
    <t>CASH FLOW</t>
  </si>
  <si>
    <t>PRECIO</t>
  </si>
  <si>
    <t>G / P DE CAPITAL</t>
  </si>
  <si>
    <t>TIPO DE BONO</t>
  </si>
  <si>
    <t>Bond Price</t>
  </si>
  <si>
    <t>Macaulay Duration</t>
  </si>
  <si>
    <t>Modified Duration</t>
  </si>
  <si>
    <t>Convexity</t>
  </si>
  <si>
    <t>Δ Yield en PBS</t>
  </si>
  <si>
    <t>Δ Price</t>
  </si>
  <si>
    <t>New Price</t>
  </si>
  <si>
    <t>Yield Requerida</t>
  </si>
  <si>
    <t>Fecha</t>
  </si>
  <si>
    <t>Precio Sucio</t>
  </si>
  <si>
    <t>Intereses Devengados</t>
  </si>
  <si>
    <t>Precio Límpio</t>
  </si>
  <si>
    <t>YTM</t>
  </si>
  <si>
    <t>Cupon</t>
  </si>
  <si>
    <t>Years</t>
  </si>
  <si>
    <t>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</si>
</sst>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Arial"/>
      <family val="2"/>
    </font>
    <font>
      <b/>
      <sz val="15"/>
      <color theme="3"/>
      <name val="Arial"/>
      <family val="2"/>
    </font>
    <font>
      <b/>
      <sz val="36"/>
      <color theme="3"/>
      <name val="Arial"/>
      <family val="2"/>
    </font>
    <font>
      <sz val="12"/>
      <color theme="1"/>
      <name val="Arial"/>
      <family val="2"/>
    </font>
    <font>
      <b/>
      <sz val="12"/>
      <color theme="3" tint="-0.249977111117893"/>
      <name val="Arial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4" fillId="0" borderId="11" applyNumberFormat="0" applyFill="0" applyAlignment="0" applyProtection="0"/>
    <xf numFmtId="0" fontId="5" fillId="3" borderId="12" applyNumberFormat="0" applyAlignment="0" applyProtection="0"/>
  </cellStyleXfs>
  <cellXfs count="28">
    <xf numFmtId="0" fontId="0" fillId="0" borderId="0" xfId="0"/>
    <xf numFmtId="0" fontId="6" fillId="0" borderId="0" xfId="0" applyFont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0" xfId="0" applyFont="1" applyFill="1"/>
    <xf numFmtId="0" fontId="6" fillId="2" borderId="5" xfId="0" applyFont="1" applyFill="1" applyBorder="1"/>
    <xf numFmtId="0" fontId="6" fillId="2" borderId="0" xfId="0" applyFont="1" applyFill="1" applyBorder="1"/>
    <xf numFmtId="0" fontId="6" fillId="2" borderId="6" xfId="0" applyFont="1" applyFill="1" applyBorder="1"/>
    <xf numFmtId="164" fontId="6" fillId="2" borderId="1" xfId="1" applyNumberFormat="1" applyFont="1" applyFill="1" applyBorder="1"/>
    <xf numFmtId="0" fontId="6" fillId="2" borderId="0" xfId="0" applyFont="1" applyFill="1" applyAlignment="1">
      <alignment horizontal="right"/>
    </xf>
    <xf numFmtId="0" fontId="6" fillId="2" borderId="1" xfId="0" applyFont="1" applyFill="1" applyBorder="1"/>
    <xf numFmtId="10" fontId="6" fillId="2" borderId="1" xfId="2" applyNumberFormat="1" applyFont="1" applyFill="1" applyBorder="1"/>
    <xf numFmtId="0" fontId="6" fillId="2" borderId="7" xfId="0" applyFont="1" applyFill="1" applyBorder="1"/>
    <xf numFmtId="0" fontId="6" fillId="2" borderId="8" xfId="0" applyFont="1" applyFill="1" applyBorder="1"/>
    <xf numFmtId="0" fontId="6" fillId="2" borderId="9" xfId="0" applyFont="1" applyFill="1" applyBorder="1"/>
    <xf numFmtId="0" fontId="6" fillId="0" borderId="14" xfId="0" applyFont="1" applyBorder="1"/>
    <xf numFmtId="0" fontId="6" fillId="0" borderId="15" xfId="0" applyFont="1" applyBorder="1"/>
    <xf numFmtId="0" fontId="10" fillId="2" borderId="0" xfId="0" applyFont="1" applyFill="1" applyAlignment="1">
      <alignment horizontal="right"/>
    </xf>
    <xf numFmtId="0" fontId="11" fillId="3" borderId="13" xfId="6" applyFont="1" applyBorder="1"/>
    <xf numFmtId="0" fontId="0" fillId="2" borderId="0" xfId="0" applyFill="1"/>
    <xf numFmtId="0" fontId="7" fillId="2" borderId="11" xfId="5" applyFont="1" applyFill="1" applyAlignment="1">
      <alignment horizontal="center" vertical="center" wrapText="1"/>
    </xf>
    <xf numFmtId="0" fontId="8" fillId="2" borderId="10" xfId="4" applyFont="1" applyFill="1" applyAlignment="1">
      <alignment horizontal="center"/>
    </xf>
    <xf numFmtId="0" fontId="10" fillId="2" borderId="0" xfId="0" applyFont="1" applyFill="1" applyAlignment="1">
      <alignment horizontal="right"/>
    </xf>
    <xf numFmtId="0" fontId="9" fillId="2" borderId="0" xfId="3" applyFont="1" applyFill="1" applyBorder="1" applyAlignment="1">
      <alignment horizontal="center" vertical="center"/>
    </xf>
    <xf numFmtId="0" fontId="6" fillId="0" borderId="0" xfId="0" applyFont="1" applyBorder="1"/>
    <xf numFmtId="1" fontId="6" fillId="0" borderId="0" xfId="0" applyNumberFormat="1" applyFont="1"/>
    <xf numFmtId="0" fontId="6" fillId="2" borderId="1" xfId="2" applyNumberFormat="1" applyFont="1" applyFill="1" applyBorder="1"/>
  </cellXfs>
  <cellStyles count="7">
    <cellStyle name="Encabezado 1" xfId="4" builtinId="16"/>
    <cellStyle name="Moneda" xfId="1" builtinId="4"/>
    <cellStyle name="Normal" xfId="0" builtinId="0"/>
    <cellStyle name="Porcentaje" xfId="2" builtinId="5"/>
    <cellStyle name="Salida" xfId="6" builtinId="21"/>
    <cellStyle name="Título" xfId="3" builtinId="15"/>
    <cellStyle name="Título 2" xfId="5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A$1" lockText="1" noThreeD="1"/>
</file>

<file path=xl/ctrlProps/ctrlProp2.xml><?xml version="1.0" encoding="utf-8"?>
<formControlPr xmlns="http://schemas.microsoft.com/office/spreadsheetml/2009/9/main" objectType="CheckBox" fmlaLink="$A$3" lockText="1" noThreeD="1"/>
</file>

<file path=xl/ctrlProps/ctrlProp3.xml><?xml version="1.0" encoding="utf-8"?>
<formControlPr xmlns="http://schemas.microsoft.com/office/spreadsheetml/2009/9/main" objectType="CheckBox" fmlaLink="$A$2" lockText="1" noThreeD="1"/>
</file>

<file path=xl/ctrlProps/ctrlProp4.xml><?xml version="1.0" encoding="utf-8"?>
<formControlPr xmlns="http://schemas.microsoft.com/office/spreadsheetml/2009/9/main" objectType="CheckBox" fmlaLink="$A$4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219075</xdr:colOff>
          <xdr:row>12</xdr:row>
          <xdr:rowOff>38100</xdr:rowOff>
        </xdr:from>
        <xdr:to>
          <xdr:col>2</xdr:col>
          <xdr:colOff>866775</xdr:colOff>
          <xdr:row>13</xdr:row>
          <xdr:rowOff>66675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BONO CUPON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12</xdr:row>
          <xdr:rowOff>104775</xdr:rowOff>
        </xdr:from>
        <xdr:to>
          <xdr:col>5</xdr:col>
          <xdr:colOff>419100</xdr:colOff>
          <xdr:row>13</xdr:row>
          <xdr:rowOff>133350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BONO CUPON  GUBERNAMENTAL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</xdr:colOff>
          <xdr:row>13</xdr:row>
          <xdr:rowOff>161925</xdr:rowOff>
        </xdr:from>
        <xdr:to>
          <xdr:col>2</xdr:col>
          <xdr:colOff>857250</xdr:colOff>
          <xdr:row>14</xdr:row>
          <xdr:rowOff>190500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BONO FLOTANTE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14</xdr:row>
          <xdr:rowOff>9525</xdr:rowOff>
        </xdr:from>
        <xdr:to>
          <xdr:col>4</xdr:col>
          <xdr:colOff>904875</xdr:colOff>
          <xdr:row>15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BONO ZERO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11</xdr:row>
          <xdr:rowOff>152400</xdr:rowOff>
        </xdr:from>
        <xdr:to>
          <xdr:col>7</xdr:col>
          <xdr:colOff>142875</xdr:colOff>
          <xdr:row>12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Valuar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13</xdr:row>
          <xdr:rowOff>123825</xdr:rowOff>
        </xdr:from>
        <xdr:to>
          <xdr:col>7</xdr:col>
          <xdr:colOff>142875</xdr:colOff>
          <xdr:row>14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BN48"/>
  <sheetViews>
    <sheetView showGridLines="0" tabSelected="1" topLeftCell="A10" zoomScaleNormal="100" workbookViewId="0">
      <selection activeCell="G23" sqref="G23"/>
    </sheetView>
  </sheetViews>
  <sheetFormatPr baseColWidth="10" defaultColWidth="0" defaultRowHeight="14.25" x14ac:dyDescent="0.2"/>
  <cols>
    <col min="1" max="1" width="14.42578125" style="1" bestFit="1" customWidth="1"/>
    <col min="2" max="2" width="11.5703125" style="1" customWidth="1"/>
    <col min="3" max="3" width="16.140625" style="1" customWidth="1"/>
    <col min="4" max="4" width="15.28515625" style="1" customWidth="1"/>
    <col min="5" max="5" width="14.85546875" style="1" bestFit="1" customWidth="1"/>
    <col min="6" max="8" width="11.42578125" style="1" customWidth="1"/>
    <col min="9" max="9" width="11.5703125" style="17" bestFit="1" customWidth="1"/>
    <col min="10" max="10" width="10.140625" style="17" bestFit="1" customWidth="1"/>
    <col min="11" max="11" width="15.140625" style="17" bestFit="1" customWidth="1"/>
    <col min="12" max="12" width="20.7109375" style="17" bestFit="1" customWidth="1"/>
    <col min="13" max="16" width="11.42578125" style="1" customWidth="1"/>
    <col min="17" max="17" width="11.42578125" style="1" hidden="1"/>
    <col min="18" max="18" width="2" style="1" bestFit="1" customWidth="1"/>
    <col min="19" max="25" width="11.42578125" style="1" hidden="1"/>
    <col min="26" max="26" width="2" style="1" bestFit="1" customWidth="1"/>
    <col min="27" max="33" width="11.42578125" style="1" hidden="1"/>
    <col min="34" max="34" width="2" style="1" bestFit="1" customWidth="1"/>
    <col min="35" max="41" width="11.42578125" style="1" hidden="1"/>
    <col min="42" max="42" width="2" style="1" bestFit="1" customWidth="1"/>
    <col min="43" max="49" width="11.42578125" style="1" hidden="1"/>
    <col min="50" max="50" width="2" style="1" bestFit="1" customWidth="1"/>
    <col min="51" max="57" width="11.42578125" style="1" hidden="1"/>
    <col min="58" max="58" width="2" style="1" bestFit="1" customWidth="1"/>
    <col min="59" max="65" width="11.42578125" style="1" hidden="1"/>
    <col min="66" max="66" width="2" style="1" bestFit="1" customWidth="1"/>
    <col min="67" max="16384" width="11.42578125" style="1" hidden="1"/>
  </cols>
  <sheetData>
    <row r="1" spans="1:15" x14ac:dyDescent="0.2">
      <c r="A1" s="1" t="b">
        <v>1</v>
      </c>
      <c r="B1" s="1">
        <f>IF(A1=TRUE,1,0)</f>
        <v>1</v>
      </c>
      <c r="D1" s="1" t="s">
        <v>22</v>
      </c>
      <c r="E1" s="1">
        <v>0.08</v>
      </c>
      <c r="I1" s="25"/>
      <c r="J1" s="25"/>
      <c r="K1" s="25"/>
      <c r="L1" s="25"/>
    </row>
    <row r="2" spans="1:15" x14ac:dyDescent="0.2">
      <c r="A2" s="1" t="b">
        <v>0</v>
      </c>
      <c r="B2" s="1">
        <f>IF(A2=TRUE,1,0)</f>
        <v>0</v>
      </c>
      <c r="D2" s="1" t="s">
        <v>23</v>
      </c>
      <c r="E2" s="26">
        <v>7.0000000000000007E-2</v>
      </c>
      <c r="I2" s="25"/>
      <c r="J2" s="25"/>
      <c r="K2" s="25"/>
      <c r="L2" s="25"/>
    </row>
    <row r="3" spans="1:15" x14ac:dyDescent="0.2">
      <c r="A3" s="1" t="b">
        <v>0</v>
      </c>
      <c r="B3" s="1">
        <f>IF(A3=TRUE,1,0)</f>
        <v>0</v>
      </c>
      <c r="D3" s="1" t="s">
        <v>24</v>
      </c>
      <c r="E3" s="1">
        <v>5.00159205352612</v>
      </c>
      <c r="I3" s="25"/>
      <c r="J3" s="25"/>
      <c r="K3" s="25"/>
      <c r="L3" s="25"/>
    </row>
    <row r="4" spans="1:15" x14ac:dyDescent="0.2">
      <c r="A4" s="1" t="b">
        <v>0</v>
      </c>
      <c r="B4" s="1">
        <f>IF(A4=TRUE,1,0)</f>
        <v>0</v>
      </c>
      <c r="D4" s="1" t="s">
        <v>25</v>
      </c>
      <c r="E4" s="1">
        <v>4</v>
      </c>
      <c r="I4" s="25"/>
      <c r="J4" s="25"/>
      <c r="K4" s="25"/>
      <c r="L4" s="25"/>
    </row>
    <row r="5" spans="1:15" x14ac:dyDescent="0.2">
      <c r="I5" s="25"/>
      <c r="J5" s="25"/>
      <c r="K5" s="25"/>
      <c r="L5" s="25"/>
    </row>
    <row r="6" spans="1:15" x14ac:dyDescent="0.2">
      <c r="I6" s="25"/>
      <c r="J6" s="25"/>
      <c r="K6" s="25"/>
      <c r="L6" s="25"/>
    </row>
    <row r="7" spans="1:15" x14ac:dyDescent="0.2">
      <c r="I7" s="1"/>
      <c r="J7" s="1"/>
      <c r="K7" s="1"/>
      <c r="L7" s="1"/>
    </row>
    <row r="8" spans="1:15" ht="15" thickBot="1" x14ac:dyDescent="0.25">
      <c r="B8" s="21" t="s">
        <v>2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ht="15.75" thickTop="1" thickBot="1" x14ac:dyDescent="0.25"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ht="15.75" thickTop="1" x14ac:dyDescent="0.25">
      <c r="B10"/>
      <c r="C10"/>
      <c r="D10"/>
      <c r="E10"/>
      <c r="F10"/>
      <c r="I10" s="1"/>
      <c r="J10" s="1"/>
      <c r="K10" s="1"/>
      <c r="L10" s="1"/>
    </row>
    <row r="11" spans="1:15" ht="15.75" thickBot="1" x14ac:dyDescent="0.3">
      <c r="B11"/>
      <c r="C11"/>
      <c r="D11"/>
      <c r="E11"/>
      <c r="F11"/>
      <c r="I11" s="1"/>
      <c r="J11" s="1"/>
      <c r="K11" s="1"/>
      <c r="L11" s="1"/>
    </row>
    <row r="12" spans="1:15" ht="20.25" thickBot="1" x14ac:dyDescent="0.35">
      <c r="B12" s="22" t="s">
        <v>9</v>
      </c>
      <c r="C12" s="22"/>
      <c r="D12" s="22"/>
      <c r="E12" s="22"/>
      <c r="F12" s="22"/>
      <c r="I12" s="2"/>
      <c r="J12" s="3"/>
      <c r="K12" s="3"/>
      <c r="L12" s="3"/>
      <c r="M12" s="3"/>
      <c r="N12" s="4"/>
    </row>
    <row r="13" spans="1:15" ht="15.75" thickTop="1" x14ac:dyDescent="0.25">
      <c r="B13" s="20"/>
      <c r="C13" s="20"/>
      <c r="D13" s="20"/>
      <c r="E13" s="20"/>
      <c r="F13" s="20"/>
      <c r="I13" s="6"/>
      <c r="J13" s="7"/>
      <c r="K13" s="7"/>
      <c r="L13" s="7"/>
      <c r="M13" s="7"/>
      <c r="N13" s="8"/>
    </row>
    <row r="14" spans="1:15" ht="15.75" x14ac:dyDescent="0.25">
      <c r="B14" s="20"/>
      <c r="C14" s="23"/>
      <c r="D14" s="23"/>
      <c r="E14" s="20"/>
      <c r="F14" s="20"/>
      <c r="I14" s="6"/>
      <c r="J14" s="7"/>
      <c r="K14" s="7"/>
      <c r="L14" s="7"/>
      <c r="M14" s="7"/>
      <c r="N14" s="8"/>
    </row>
    <row r="15" spans="1:15" ht="15.75" x14ac:dyDescent="0.25">
      <c r="B15" s="20"/>
      <c r="C15" s="18"/>
      <c r="D15" s="18"/>
      <c r="E15" s="20"/>
      <c r="F15" s="20"/>
      <c r="I15" s="6"/>
      <c r="J15" s="7"/>
      <c r="K15" s="7"/>
      <c r="L15" s="7"/>
      <c r="M15" s="7"/>
      <c r="N15" s="8"/>
    </row>
    <row r="16" spans="1:15" ht="15" x14ac:dyDescent="0.2">
      <c r="B16" s="23"/>
      <c r="C16" s="23"/>
      <c r="D16" s="5"/>
      <c r="E16" s="5"/>
      <c r="F16" s="5"/>
      <c r="I16" s="6"/>
      <c r="J16" s="7"/>
      <c r="K16" s="7"/>
      <c r="L16" s="7"/>
      <c r="M16" s="7"/>
      <c r="N16" s="8"/>
    </row>
    <row r="17" spans="2:14" x14ac:dyDescent="0.2">
      <c r="I17" s="6"/>
      <c r="J17" s="7"/>
      <c r="K17" s="7"/>
      <c r="L17" s="7"/>
      <c r="M17" s="7"/>
      <c r="N17" s="8"/>
    </row>
    <row r="18" spans="2:14" ht="20.25" thickBot="1" x14ac:dyDescent="0.35">
      <c r="B18" s="22" t="s">
        <v>0</v>
      </c>
      <c r="C18" s="22"/>
      <c r="D18" s="22"/>
      <c r="E18" s="22"/>
      <c r="F18" s="22"/>
      <c r="I18" s="6"/>
      <c r="J18" s="7"/>
      <c r="K18" s="7"/>
      <c r="L18" s="7"/>
      <c r="M18" s="7"/>
      <c r="N18" s="8"/>
    </row>
    <row r="19" spans="2:14" ht="15.75" thickTop="1" thickBot="1" x14ac:dyDescent="0.25">
      <c r="B19" s="5"/>
      <c r="C19" s="5"/>
      <c r="D19" s="5"/>
      <c r="E19" s="5"/>
      <c r="F19" s="5"/>
      <c r="I19" s="6"/>
      <c r="J19" s="24" t="s">
        <v>3</v>
      </c>
      <c r="K19" s="24"/>
      <c r="L19" s="24"/>
      <c r="M19" s="24"/>
      <c r="N19" s="8"/>
    </row>
    <row r="20" spans="2:14" ht="15.75" thickBot="1" x14ac:dyDescent="0.25">
      <c r="B20" s="23" t="s">
        <v>10</v>
      </c>
      <c r="C20" s="23"/>
      <c r="D20" s="5"/>
      <c r="E20" s="9">
        <v>95.912141663850718</v>
      </c>
      <c r="F20" s="5"/>
      <c r="I20" s="6"/>
      <c r="J20" s="24"/>
      <c r="K20" s="24"/>
      <c r="L20" s="24"/>
      <c r="M20" s="24"/>
      <c r="N20" s="8"/>
    </row>
    <row r="21" spans="2:14" ht="15.75" thickBot="1" x14ac:dyDescent="0.25">
      <c r="B21" s="18"/>
      <c r="C21" s="18"/>
      <c r="D21" s="5"/>
      <c r="E21" s="5"/>
      <c r="F21" s="5"/>
      <c r="I21" s="6"/>
      <c r="J21" s="24"/>
      <c r="K21" s="24"/>
      <c r="L21" s="24"/>
      <c r="M21" s="24"/>
      <c r="N21" s="8"/>
    </row>
    <row r="22" spans="2:14" ht="15.75" thickBot="1" x14ac:dyDescent="0.25">
      <c r="B22" s="23" t="s">
        <v>11</v>
      </c>
      <c r="C22" s="23"/>
      <c r="D22" s="5"/>
      <c r="E22" s="11">
        <f>DURATION(DATE(2000,1,1),DATE(2000+E3,1,1),E2,E1,E4)</f>
        <v>4.2424458234565536</v>
      </c>
      <c r="F22" s="5"/>
      <c r="I22" s="6"/>
      <c r="J22" s="24"/>
      <c r="K22" s="24"/>
      <c r="L22" s="24"/>
      <c r="M22" s="24"/>
      <c r="N22" s="8"/>
    </row>
    <row r="23" spans="2:14" ht="15.75" thickBot="1" x14ac:dyDescent="0.25">
      <c r="B23" s="18"/>
      <c r="C23" s="18"/>
      <c r="D23" s="5"/>
      <c r="E23" s="7"/>
      <c r="F23" s="5"/>
      <c r="I23" s="6"/>
      <c r="J23" s="7"/>
      <c r="K23" s="7"/>
      <c r="L23" s="7"/>
      <c r="M23" s="7"/>
      <c r="N23" s="8"/>
    </row>
    <row r="24" spans="2:14" ht="15.75" thickBot="1" x14ac:dyDescent="0.25">
      <c r="B24" s="23" t="s">
        <v>12</v>
      </c>
      <c r="C24" s="23"/>
      <c r="D24" s="5"/>
      <c r="E24" s="27">
        <f>MDURATION(DATE(2000,1,1),DATE(2000+E3,1,1),E2,E1,E4)</f>
        <v>4.1592606112319155</v>
      </c>
      <c r="F24" s="5"/>
      <c r="I24" s="6"/>
      <c r="J24" s="7"/>
      <c r="K24" s="7"/>
      <c r="L24" s="7"/>
      <c r="M24" s="7"/>
      <c r="N24" s="8"/>
    </row>
    <row r="25" spans="2:14" ht="15.75" thickBot="1" x14ac:dyDescent="0.25">
      <c r="B25" s="18"/>
      <c r="C25" s="18"/>
      <c r="D25" s="5"/>
      <c r="E25" s="7"/>
      <c r="F25" s="5"/>
      <c r="I25" s="6"/>
      <c r="J25" s="7"/>
      <c r="K25" s="7"/>
      <c r="L25" s="7"/>
      <c r="M25" s="7"/>
      <c r="N25" s="8"/>
    </row>
    <row r="26" spans="2:14" ht="15.75" thickBot="1" x14ac:dyDescent="0.25">
      <c r="B26" s="23" t="s">
        <v>13</v>
      </c>
      <c r="C26" s="23"/>
      <c r="D26" s="5"/>
      <c r="E26" s="12"/>
      <c r="F26" s="5"/>
      <c r="I26" s="6"/>
      <c r="J26" s="7"/>
      <c r="K26" s="7"/>
      <c r="L26" s="7"/>
      <c r="M26" s="7"/>
      <c r="N26" s="8"/>
    </row>
    <row r="27" spans="2:14" x14ac:dyDescent="0.2">
      <c r="I27" s="6"/>
      <c r="J27" s="7"/>
      <c r="K27" s="7"/>
      <c r="L27" s="7"/>
      <c r="M27" s="7"/>
      <c r="N27" s="8"/>
    </row>
    <row r="28" spans="2:14" ht="15" thickBot="1" x14ac:dyDescent="0.25">
      <c r="I28" s="13"/>
      <c r="J28" s="14"/>
      <c r="K28" s="14"/>
      <c r="L28" s="14"/>
      <c r="M28" s="14"/>
      <c r="N28" s="15"/>
    </row>
    <row r="29" spans="2:14" ht="20.25" thickBot="1" x14ac:dyDescent="0.35">
      <c r="B29" s="22" t="s">
        <v>1</v>
      </c>
      <c r="C29" s="22"/>
      <c r="D29" s="22"/>
      <c r="E29" s="22"/>
      <c r="F29" s="22"/>
      <c r="I29" s="1"/>
      <c r="J29" s="1"/>
      <c r="K29" s="1"/>
      <c r="L29" s="1"/>
    </row>
    <row r="30" spans="2:14" ht="15.75" thickTop="1" thickBot="1" x14ac:dyDescent="0.25">
      <c r="B30" s="5"/>
      <c r="C30" s="5"/>
      <c r="D30" s="5"/>
      <c r="E30" s="5"/>
      <c r="F30" s="5"/>
      <c r="I30" s="1"/>
      <c r="J30" s="1"/>
      <c r="K30" s="1"/>
      <c r="L30" s="1"/>
    </row>
    <row r="31" spans="2:14" ht="15.75" thickBot="1" x14ac:dyDescent="0.25">
      <c r="B31" s="23" t="s">
        <v>14</v>
      </c>
      <c r="C31" s="23"/>
      <c r="D31" s="5"/>
      <c r="E31" s="9"/>
      <c r="F31" s="5"/>
      <c r="I31" s="1"/>
      <c r="J31" s="1"/>
      <c r="K31" s="1"/>
      <c r="L31" s="1"/>
    </row>
    <row r="32" spans="2:14" ht="16.5" thickBot="1" x14ac:dyDescent="0.3">
      <c r="B32" s="18"/>
      <c r="C32" s="18"/>
      <c r="D32" s="5"/>
      <c r="E32" s="5"/>
      <c r="F32" s="5"/>
      <c r="I32" s="19" t="s">
        <v>5</v>
      </c>
      <c r="J32" s="19" t="s">
        <v>7</v>
      </c>
      <c r="K32" s="19" t="s">
        <v>6</v>
      </c>
      <c r="L32" s="19" t="s">
        <v>8</v>
      </c>
    </row>
    <row r="33" spans="2:12" ht="15.75" thickBot="1" x14ac:dyDescent="0.25">
      <c r="B33" s="23" t="s">
        <v>15</v>
      </c>
      <c r="C33" s="23"/>
      <c r="D33" s="5"/>
      <c r="E33" s="11"/>
      <c r="F33" s="5"/>
      <c r="I33" s="16"/>
      <c r="J33" s="16"/>
      <c r="K33" s="16"/>
      <c r="L33" s="16"/>
    </row>
    <row r="34" spans="2:12" ht="15.75" thickBot="1" x14ac:dyDescent="0.25">
      <c r="B34" s="18"/>
      <c r="C34" s="18"/>
      <c r="D34" s="5"/>
      <c r="E34" s="7"/>
      <c r="F34" s="5"/>
    </row>
    <row r="35" spans="2:12" ht="15.75" thickBot="1" x14ac:dyDescent="0.25">
      <c r="B35" s="23" t="s">
        <v>16</v>
      </c>
      <c r="C35" s="23"/>
      <c r="D35" s="5"/>
      <c r="E35" s="12"/>
      <c r="F35" s="5"/>
    </row>
    <row r="38" spans="2:12" ht="20.25" thickBot="1" x14ac:dyDescent="0.35">
      <c r="B38" s="22" t="s">
        <v>4</v>
      </c>
      <c r="C38" s="22"/>
      <c r="D38" s="22"/>
      <c r="E38" s="22"/>
      <c r="F38" s="22"/>
    </row>
    <row r="39" spans="2:12" ht="15.75" thickTop="1" thickBot="1" x14ac:dyDescent="0.25">
      <c r="B39" s="5"/>
      <c r="C39" s="5"/>
      <c r="D39" s="5"/>
      <c r="E39" s="5"/>
      <c r="F39" s="5"/>
    </row>
    <row r="40" spans="2:12" ht="15.75" thickBot="1" x14ac:dyDescent="0.25">
      <c r="B40" s="23" t="s">
        <v>18</v>
      </c>
      <c r="C40" s="23"/>
      <c r="D40" s="5"/>
      <c r="E40" s="9"/>
      <c r="F40" s="5"/>
    </row>
    <row r="41" spans="2:12" ht="15.75" thickBot="1" x14ac:dyDescent="0.25">
      <c r="B41" s="18"/>
      <c r="C41" s="18"/>
      <c r="D41" s="5"/>
      <c r="E41" s="5"/>
      <c r="F41" s="5"/>
    </row>
    <row r="42" spans="2:12" ht="15.75" thickBot="1" x14ac:dyDescent="0.25">
      <c r="B42" s="23" t="s">
        <v>17</v>
      </c>
      <c r="C42" s="23"/>
      <c r="D42" s="5"/>
      <c r="E42" s="11"/>
      <c r="F42" s="5"/>
    </row>
    <row r="43" spans="2:12" ht="15.75" thickBot="1" x14ac:dyDescent="0.25">
      <c r="B43" s="18"/>
      <c r="C43" s="18"/>
      <c r="D43" s="5"/>
      <c r="E43" s="7"/>
      <c r="F43" s="5"/>
    </row>
    <row r="44" spans="2:12" ht="15.75" thickBot="1" x14ac:dyDescent="0.25">
      <c r="B44" s="23" t="s">
        <v>19</v>
      </c>
      <c r="C44" s="23"/>
      <c r="D44" s="5"/>
      <c r="E44" s="12"/>
      <c r="F44" s="5"/>
    </row>
    <row r="45" spans="2:12" ht="15.75" thickBot="1" x14ac:dyDescent="0.25">
      <c r="B45" s="18"/>
      <c r="C45" s="18"/>
      <c r="D45" s="5"/>
      <c r="E45" s="7"/>
      <c r="F45" s="5"/>
    </row>
    <row r="46" spans="2:12" ht="15.75" thickBot="1" x14ac:dyDescent="0.25">
      <c r="B46" s="23" t="s">
        <v>20</v>
      </c>
      <c r="C46" s="23"/>
      <c r="D46" s="5"/>
      <c r="E46" s="11"/>
      <c r="F46" s="5"/>
    </row>
    <row r="47" spans="2:12" ht="15" thickBot="1" x14ac:dyDescent="0.25">
      <c r="B47" s="10"/>
      <c r="C47" s="10"/>
      <c r="D47" s="5"/>
      <c r="E47" s="7"/>
      <c r="F47" s="5"/>
    </row>
    <row r="48" spans="2:12" ht="15.75" thickBot="1" x14ac:dyDescent="0.25">
      <c r="B48" s="23" t="s">
        <v>21</v>
      </c>
      <c r="C48" s="23"/>
      <c r="D48" s="5"/>
      <c r="E48" s="12"/>
      <c r="F48" s="5"/>
    </row>
  </sheetData>
  <sortState ref="B36:B236">
    <sortCondition descending="1" ref="B37"/>
  </sortState>
  <mergeCells count="20">
    <mergeCell ref="B42:C42"/>
    <mergeCell ref="B44:C44"/>
    <mergeCell ref="B46:C46"/>
    <mergeCell ref="B48:C48"/>
    <mergeCell ref="B12:F12"/>
    <mergeCell ref="B16:C16"/>
    <mergeCell ref="C14:D14"/>
    <mergeCell ref="B31:C31"/>
    <mergeCell ref="B33:C33"/>
    <mergeCell ref="B35:C35"/>
    <mergeCell ref="B38:F38"/>
    <mergeCell ref="B40:C40"/>
    <mergeCell ref="B8:O9"/>
    <mergeCell ref="B18:F18"/>
    <mergeCell ref="B29:F29"/>
    <mergeCell ref="B20:C20"/>
    <mergeCell ref="B22:C22"/>
    <mergeCell ref="B24:C24"/>
    <mergeCell ref="B26:C26"/>
    <mergeCell ref="J19:M2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>
                  <from>
                    <xdr:col>1</xdr:col>
                    <xdr:colOff>219075</xdr:colOff>
                    <xdr:row>12</xdr:row>
                    <xdr:rowOff>38100</xdr:rowOff>
                  </from>
                  <to>
                    <xdr:col>2</xdr:col>
                    <xdr:colOff>866775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>
                  <from>
                    <xdr:col>3</xdr:col>
                    <xdr:colOff>466725</xdr:colOff>
                    <xdr:row>12</xdr:row>
                    <xdr:rowOff>104775</xdr:rowOff>
                  </from>
                  <to>
                    <xdr:col>5</xdr:col>
                    <xdr:colOff>419100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>
                  <from>
                    <xdr:col>1</xdr:col>
                    <xdr:colOff>209550</xdr:colOff>
                    <xdr:row>13</xdr:row>
                    <xdr:rowOff>161925</xdr:rowOff>
                  </from>
                  <to>
                    <xdr:col>2</xdr:col>
                    <xdr:colOff>857250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>
                  <from>
                    <xdr:col>3</xdr:col>
                    <xdr:colOff>504825</xdr:colOff>
                    <xdr:row>14</xdr:row>
                    <xdr:rowOff>9525</xdr:rowOff>
                  </from>
                  <to>
                    <xdr:col>4</xdr:col>
                    <xdr:colOff>904875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rice_bond">
                <anchor moveWithCells="1">
                  <from>
                    <xdr:col>6</xdr:col>
                    <xdr:colOff>409575</xdr:colOff>
                    <xdr:row>11</xdr:row>
                    <xdr:rowOff>152400</xdr:rowOff>
                  </from>
                  <to>
                    <xdr:col>7</xdr:col>
                    <xdr:colOff>142875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orrar">
                <anchor moveWithCells="1">
                  <from>
                    <xdr:col>6</xdr:col>
                    <xdr:colOff>409575</xdr:colOff>
                    <xdr:row>13</xdr:row>
                    <xdr:rowOff>123825</xdr:rowOff>
                  </from>
                  <to>
                    <xdr:col>7</xdr:col>
                    <xdr:colOff>142875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Calculadora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andrade</dc:creator>
  <cp:lastModifiedBy>Usuario</cp:lastModifiedBy>
  <dcterms:created xsi:type="dcterms:W3CDTF">2016-05-26T13:39:16Z</dcterms:created>
  <dcterms:modified xsi:type="dcterms:W3CDTF">2017-06-01T15:11:07Z</dcterms:modified>
</cp:coreProperties>
</file>